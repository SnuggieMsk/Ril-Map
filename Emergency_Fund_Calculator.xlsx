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ergency F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,##0"/>
  </numFmts>
  <fonts count="28">
    <font>
      <name val="Calibri"/>
      <family val="2"/>
      <color theme="1"/>
      <sz val="11"/>
      <scheme val="minor"/>
    </font>
    <font>
      <name val="Cambria"/>
      <color rgb="000E1116"/>
      <sz val="28"/>
    </font>
    <font>
      <name val="Calibri"/>
      <i val="1"/>
      <color rgb="004A5365"/>
      <sz val="11"/>
    </font>
    <font>
      <name val="Calibri"/>
      <b val="1"/>
      <color rgb="008A6320"/>
      <sz val="8"/>
    </font>
    <font>
      <name val="Cambria"/>
      <color rgb="000E1116"/>
      <sz val="18"/>
    </font>
    <font>
      <name val="Calibri"/>
      <i val="1"/>
      <color rgb="008B9099"/>
      <sz val="9"/>
    </font>
    <font>
      <name val="Calibri"/>
      <b val="1"/>
      <color rgb="008B9099"/>
      <sz val="9"/>
    </font>
    <font>
      <name val="Calibri"/>
      <color rgb="001A1F29"/>
      <sz val="11"/>
    </font>
    <font>
      <name val="Calibri"/>
      <b val="1"/>
      <color rgb="000E1116"/>
      <sz val="12"/>
    </font>
    <font>
      <name val="Calibri"/>
      <b val="1"/>
      <color rgb="004A5365"/>
      <sz val="11"/>
    </font>
    <font>
      <name val="Calibri"/>
      <b val="1"/>
      <color rgb="004A5365"/>
      <sz val="12"/>
    </font>
    <font>
      <name val="Calibri"/>
      <i val="1"/>
      <color rgb="001A1F29"/>
      <sz val="11"/>
    </font>
    <font>
      <name val="Cambria"/>
      <color rgb="000E1116"/>
      <sz val="14"/>
    </font>
    <font>
      <name val="Cambria"/>
      <b val="1"/>
      <color rgb="008A6320"/>
      <sz val="20"/>
    </font>
    <font>
      <name val="Calibri"/>
      <b val="1"/>
      <color rgb="001F6E6A"/>
      <sz val="14"/>
    </font>
    <font>
      <name val="Calibri"/>
      <i val="1"/>
      <color rgb="004A5365"/>
      <sz val="10"/>
    </font>
    <font>
      <name val="Calibri"/>
      <b val="1"/>
      <color rgb="00B8842C"/>
      <sz val="14"/>
    </font>
    <font>
      <name val="Calibri"/>
      <b val="1"/>
      <color rgb="00862633"/>
      <sz val="14"/>
    </font>
    <font>
      <name val="Calibri"/>
      <i val="1"/>
      <color rgb="008B9099"/>
      <sz val="10"/>
    </font>
    <font>
      <name val="Calibri"/>
      <color rgb="004A5365"/>
      <sz val="11"/>
    </font>
    <font>
      <name val="Cambria"/>
      <color rgb="001E2C52"/>
      <sz val="13"/>
    </font>
    <font>
      <name val="Calibri"/>
      <b val="1"/>
      <color rgb="001A1F29"/>
      <sz val="11"/>
    </font>
    <font>
      <name val="Calibri"/>
      <b val="1"/>
      <color rgb="001E2C52"/>
      <sz val="14"/>
    </font>
    <font>
      <name val="Cambria"/>
      <color rgb="008A6320"/>
      <sz val="13"/>
    </font>
    <font>
      <name val="Calibri"/>
      <b val="1"/>
      <color rgb="008A6320"/>
      <sz val="14"/>
    </font>
    <font>
      <name val="Cambria"/>
      <color rgb="001F6E4A"/>
      <sz val="13"/>
    </font>
    <font>
      <name val="Calibri"/>
      <b val="1"/>
      <color rgb="001F6E4A"/>
      <sz val="14"/>
    </font>
    <font>
      <name val="Calibri"/>
      <color rgb="004A5365"/>
      <sz val="10"/>
    </font>
  </fonts>
  <fills count="6">
    <fill>
      <patternFill/>
    </fill>
    <fill>
      <patternFill patternType="gray125"/>
    </fill>
    <fill>
      <patternFill patternType="solid">
        <fgColor rgb="000E1116"/>
      </patternFill>
    </fill>
    <fill>
      <patternFill patternType="solid">
        <fgColor rgb="00F7F5F0"/>
      </patternFill>
    </fill>
    <fill>
      <patternFill patternType="solid">
        <fgColor rgb="00FBF9F4"/>
      </patternFill>
    </fill>
    <fill>
      <patternFill patternType="solid">
        <fgColor rgb="00EAF4EF"/>
      </patternFill>
    </fill>
  </fills>
  <borders count="14">
    <border>
      <left/>
      <right/>
      <top/>
      <bottom/>
      <diagonal/>
    </border>
    <border>
      <bottom style="thin">
        <color rgb="00D8D2C2"/>
      </bottom>
    </border>
    <border>
      <bottom style="thin">
        <color rgb="00E8E3D8"/>
      </bottom>
    </border>
    <border>
      <left/>
      <right/>
      <top/>
      <bottom style="thin">
        <color rgb="00E8E3D8"/>
      </bottom>
      <diagonal/>
    </border>
    <border>
      <left style="thin">
        <color rgb="00D8D2C2"/>
      </left>
      <right style="thin">
        <color rgb="00D8D2C2"/>
      </right>
      <top style="thin">
        <color rgb="00D8D2C2"/>
      </top>
      <bottom style="thin">
        <color rgb="00D8D2C2"/>
      </bottom>
    </border>
    <border>
      <top style="thin">
        <color rgb="00E8E3D8"/>
      </top>
    </border>
    <border>
      <left style="thin">
        <color rgb="00D8D2C2"/>
      </left>
      <top style="medium">
        <color rgb="000E1116"/>
      </top>
      <bottom style="medium">
        <color rgb="000E1116"/>
      </bottom>
    </border>
    <border>
      <right style="thin">
        <color rgb="00D8D2C2"/>
      </right>
      <top style="medium">
        <color rgb="000E1116"/>
      </top>
      <bottom style="medium">
        <color rgb="000E1116"/>
      </bottom>
    </border>
    <border>
      <top style="medium">
        <color rgb="000E1116"/>
      </top>
      <bottom style="medium">
        <color rgb="000E1116"/>
      </bottom>
    </border>
    <border>
      <left style="thick">
        <color rgb="001F6E6A"/>
      </left>
      <bottom style="thin">
        <color rgb="00E8E3D8"/>
      </bottom>
    </border>
    <border>
      <left style="thick">
        <color rgb="00B8842C"/>
      </left>
      <bottom style="thin">
        <color rgb="00E8E3D8"/>
      </bottom>
    </border>
    <border>
      <left style="thick">
        <color rgb="00862633"/>
      </left>
      <bottom style="thin">
        <color rgb="00E8E3D8"/>
      </bottom>
    </border>
    <border>
      <top style="thin">
        <color rgb="00E8E3D8"/>
      </top>
      <bottom style="thin">
        <color rgb="00E8E3D8"/>
      </bottom>
    </border>
    <border>
      <left style="thick">
        <color rgb="00B8842C"/>
      </left>
      <right style="thin">
        <color rgb="00E8E3D8"/>
      </right>
      <top style="thin">
        <color rgb="00E8E3D8"/>
      </top>
      <bottom style="thin">
        <color rgb="00E8E3D8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/>
    </xf>
    <xf numFmtId="0" fontId="0" fillId="0" borderId="3" pivotButton="0" quotePrefix="0" xfId="0"/>
    <xf numFmtId="0" fontId="7" fillId="0" borderId="0" applyAlignment="1" pivotButton="0" quotePrefix="0" xfId="0">
      <alignment horizontal="left" vertical="center"/>
    </xf>
    <xf numFmtId="164" fontId="8" fillId="4" borderId="4" applyAlignment="1" applyProtection="1" pivotButton="0" quotePrefix="0" xfId="0">
      <alignment horizontal="right" vertical="center"/>
      <protection locked="0" hidden="0"/>
    </xf>
    <xf numFmtId="0" fontId="9" fillId="0" borderId="5" applyAlignment="1" pivotButton="0" quotePrefix="0" xfId="0">
      <alignment horizontal="left" vertical="center"/>
    </xf>
    <xf numFmtId="164" fontId="10" fillId="0" borderId="5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/>
    </xf>
    <xf numFmtId="9" fontId="8" fillId="4" borderId="4" applyAlignment="1" applyProtection="1" pivotButton="0" quotePrefix="0" xfId="0">
      <alignment horizontal="right" vertical="center"/>
      <protection locked="0" hidden="0"/>
    </xf>
    <xf numFmtId="0" fontId="12" fillId="4" borderId="6" applyAlignment="1" pivotButton="0" quotePrefix="0" xfId="0">
      <alignment horizontal="left" vertical="center"/>
    </xf>
    <xf numFmtId="164" fontId="13" fillId="4" borderId="7" applyAlignment="1" pivotButton="0" quotePrefix="0" xfId="0">
      <alignment horizontal="right" vertical="center"/>
    </xf>
    <xf numFmtId="0" fontId="5" fillId="4" borderId="8" applyAlignment="1" pivotButton="0" quotePrefix="0" xfId="0">
      <alignment horizontal="left" vertical="center"/>
    </xf>
    <xf numFmtId="0" fontId="6" fillId="0" borderId="2" applyAlignment="1" pivotButton="0" quotePrefix="0" xfId="0">
      <alignment horizontal="right" vertical="center"/>
    </xf>
    <xf numFmtId="0" fontId="12" fillId="0" borderId="9" applyAlignment="1" pivotButton="0" quotePrefix="0" xfId="0">
      <alignment horizontal="left" vertical="center"/>
    </xf>
    <xf numFmtId="164" fontId="14" fillId="0" borderId="2" applyAlignment="1" pivotButton="0" quotePrefix="0" xfId="0">
      <alignment horizontal="right" vertical="center"/>
    </xf>
    <xf numFmtId="0" fontId="15" fillId="0" borderId="2" applyAlignment="1" pivotButton="0" quotePrefix="0" xfId="0">
      <alignment horizontal="left" vertical="center" wrapText="1"/>
    </xf>
    <xf numFmtId="0" fontId="12" fillId="0" borderId="10" applyAlignment="1" pivotButton="0" quotePrefix="0" xfId="0">
      <alignment horizontal="left" vertical="center"/>
    </xf>
    <xf numFmtId="164" fontId="16" fillId="0" borderId="2" applyAlignment="1" pivotButton="0" quotePrefix="0" xfId="0">
      <alignment horizontal="right" vertical="center"/>
    </xf>
    <xf numFmtId="0" fontId="12" fillId="0" borderId="11" applyAlignment="1" pivotButton="0" quotePrefix="0" xfId="0">
      <alignment horizontal="left" vertical="center"/>
    </xf>
    <xf numFmtId="164" fontId="17" fillId="0" borderId="2" applyAlignment="1" pivotButton="0" quotePrefix="0" xfId="0">
      <alignment horizontal="right" vertical="center"/>
    </xf>
    <xf numFmtId="0" fontId="18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horizontal="right" vertical="center"/>
    </xf>
    <xf numFmtId="0" fontId="6" fillId="4" borderId="12" applyAlignment="1" pivotButton="0" quotePrefix="0" xfId="0">
      <alignment horizontal="left" vertical="center"/>
    </xf>
    <xf numFmtId="0" fontId="6" fillId="4" borderId="12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/>
    </xf>
    <xf numFmtId="10" fontId="21" fillId="0" borderId="0" applyAlignment="1" pivotButton="0" quotePrefix="0" xfId="0">
      <alignment horizontal="right" vertical="center"/>
    </xf>
    <xf numFmtId="164" fontId="22" fillId="0" borderId="0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top" wrapText="1"/>
    </xf>
    <xf numFmtId="0" fontId="23" fillId="0" borderId="0" applyAlignment="1" pivotButton="0" quotePrefix="0" xfId="0">
      <alignment horizontal="left" vertical="center"/>
    </xf>
    <xf numFmtId="164" fontId="24" fillId="0" borderId="0" applyAlignment="1" pivotButton="0" quotePrefix="0" xfId="0">
      <alignment horizontal="right" vertical="center"/>
    </xf>
    <xf numFmtId="0" fontId="25" fillId="5" borderId="0" applyAlignment="1" pivotButton="0" quotePrefix="0" xfId="0">
      <alignment horizontal="left" vertical="center"/>
    </xf>
    <xf numFmtId="10" fontId="21" fillId="5" borderId="0" applyAlignment="1" pivotButton="0" quotePrefix="0" xfId="0">
      <alignment horizontal="right" vertical="center"/>
    </xf>
    <xf numFmtId="0" fontId="0" fillId="5" borderId="0" pivotButton="0" quotePrefix="0" xfId="0"/>
    <xf numFmtId="164" fontId="19" fillId="5" borderId="0" applyAlignment="1" pivotButton="0" quotePrefix="0" xfId="0">
      <alignment horizontal="right" vertical="center"/>
    </xf>
    <xf numFmtId="164" fontId="26" fillId="5" borderId="0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top" wrapText="1"/>
    </xf>
    <xf numFmtId="0" fontId="27" fillId="0" borderId="0" applyAlignment="1" pivotButton="0" quotePrefix="0" xfId="0">
      <alignment horizontal="left" vertical="center" wrapText="1"/>
    </xf>
    <xf numFmtId="0" fontId="5" fillId="4" borderId="1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9"/>
  <sheetViews>
    <sheetView showGridLines="0" zoomScale="11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22" customWidth="1" min="3" max="3"/>
    <col width="4" customWidth="1" min="4" max="4"/>
    <col width="28" customWidth="1" min="5" max="5"/>
    <col width="18" customWidth="1" min="6" max="6"/>
    <col width="22" customWidth="1" min="7" max="7"/>
  </cols>
  <sheetData>
    <row r="1" ht="8" customHeight="1">
      <c r="A1" s="1" t="n"/>
    </row>
    <row r="2" ht="56" customHeight="1">
      <c r="A2" s="2" t="n"/>
      <c r="B2" s="3" t="inlineStr">
        <is>
          <t>Emergency Fund Calculator</t>
        </is>
      </c>
    </row>
    <row r="3" ht="22" customHeight="1">
      <c r="B3" s="4" t="inlineStr">
        <is>
          <t>A premium client tool · Calculate your liquid buffer &amp; passive-income corpus · FY 2025–26</t>
        </is>
      </c>
    </row>
    <row r="4" ht="22" customHeight="1">
      <c r="B4" s="5" t="inlineStr">
        <is>
          <t>PRIVATE CLIENT BRIEF · INDIA</t>
        </is>
      </c>
    </row>
    <row r="5" ht="12" customHeight="1">
      <c r="B5" s="6" t="n"/>
      <c r="C5" s="6" t="n"/>
      <c r="D5" s="6" t="n"/>
      <c r="E5" s="6" t="n"/>
      <c r="F5" s="6" t="n"/>
      <c r="G5" s="6" t="n"/>
    </row>
    <row r="6" ht="22" customHeight="1">
      <c r="B6" s="5" t="inlineStr">
        <is>
          <t>01 · YOUR MONTHLY OUTFLOW</t>
        </is>
      </c>
    </row>
    <row r="7" ht="30" customHeight="1">
      <c r="B7" s="7" t="inlineStr">
        <is>
          <t>Enter what leaves your account each month.</t>
        </is>
      </c>
    </row>
    <row r="8" ht="36" customHeight="1">
      <c r="B8" s="8" t="inlineStr">
        <is>
          <t>Be honest. Underestimating here is the most common reason emergency funds fail when they're actually needed. Round up rather than down. Excludes investments, SIPs, insurance premiums (those go in 'Other').</t>
        </is>
      </c>
    </row>
    <row r="9" ht="20" customHeight="1">
      <c r="B9" s="9" t="inlineStr">
        <is>
          <t>Category</t>
        </is>
      </c>
      <c r="C9" s="9" t="inlineStr">
        <is>
          <t>Monthly amount</t>
        </is>
      </c>
      <c r="E9" s="9" t="inlineStr">
        <is>
          <t>Notes / what to include</t>
        </is>
      </c>
      <c r="F9" s="10" t="n"/>
      <c r="G9" s="10" t="n"/>
    </row>
    <row r="10" ht="32" customHeight="1">
      <c r="B10" s="11" t="inlineStr">
        <is>
          <t>Rent</t>
        </is>
      </c>
      <c r="C10" s="12" t="n">
        <v>35000</v>
      </c>
      <c r="E10" s="8" t="inlineStr">
        <is>
          <t>Or housing-society maintenance / mortgage interest if you own.</t>
        </is>
      </c>
    </row>
    <row r="11" ht="32" customHeight="1">
      <c r="B11" s="11" t="inlineStr">
        <is>
          <t>Total EMI</t>
        </is>
      </c>
      <c r="C11" s="12" t="n">
        <v>45000</v>
      </c>
      <c r="E11" s="8" t="inlineStr">
        <is>
          <t>Home loan + car loan + personal loan + credit-card minimum dues.</t>
        </is>
      </c>
    </row>
    <row r="12" ht="32" customHeight="1">
      <c r="B12" s="11" t="inlineStr">
        <is>
          <t>Utilities</t>
        </is>
      </c>
      <c r="C12" s="12" t="n">
        <v>8000</v>
      </c>
      <c r="E12" s="8" t="inlineStr">
        <is>
          <t>Electricity · Gas · Water · Broadband · Mobile · OTT subscriptions.</t>
        </is>
      </c>
    </row>
    <row r="13" ht="32" customHeight="1">
      <c r="B13" s="11" t="inlineStr">
        <is>
          <t>Groceries &amp; household</t>
        </is>
      </c>
      <c r="C13" s="12" t="n">
        <v>25000</v>
      </c>
      <c r="E13" s="8" t="inlineStr">
        <is>
          <t>Food · cleaning · maid · cook · driver · school fees if monthly.</t>
        </is>
      </c>
    </row>
    <row r="14" ht="32" customHeight="1">
      <c r="B14" s="11" t="inlineStr">
        <is>
          <t>Other &amp; miscellaneous</t>
        </is>
      </c>
      <c r="C14" s="12" t="n">
        <v>15000</v>
      </c>
      <c r="E14" s="8" t="inlineStr">
        <is>
          <t>Health insurance premium · transport · entertainment · personal care.</t>
        </is>
      </c>
    </row>
    <row r="16" ht="36" customHeight="1">
      <c r="B16" s="13" t="inlineStr">
        <is>
          <t>Subtotal — raw monthly expenses</t>
        </is>
      </c>
      <c r="C16" s="14">
        <f>SUM(C10,C11,C12,C13,C14)</f>
        <v/>
      </c>
    </row>
    <row r="18" ht="30" customHeight="1">
      <c r="B18" s="15" t="inlineStr">
        <is>
          <t>Inflation &amp; safety buffer (recommended 20%)</t>
        </is>
      </c>
      <c r="C18" s="16" t="n">
        <v>0.2</v>
      </c>
      <c r="E18" s="8" t="inlineStr">
        <is>
          <t>20% standard. Set higher (25–40%) if expenses lumpy, lower (10–15%) if your numbers are already padded. Set 0% for raw figures.</t>
        </is>
      </c>
    </row>
    <row r="20" ht="50" customHeight="1">
      <c r="B20" s="17" t="inlineStr">
        <is>
          <t>Adjusted monthly need</t>
        </is>
      </c>
      <c r="C20" s="18">
        <f>C16*(1+C18)</f>
        <v/>
      </c>
      <c r="E20" s="19">
        <f> raw subtotal × (1 + buffer%)</f>
        <v/>
      </c>
    </row>
    <row r="23" ht="22" customHeight="1">
      <c r="B23" s="5" t="inlineStr">
        <is>
          <t>02 · EMERGENCY CORPUS REQUIRED</t>
        </is>
      </c>
    </row>
    <row r="24" ht="30" customHeight="1">
      <c r="B24" s="7" t="inlineStr">
        <is>
          <t>How much liquid buffer do you need?</t>
        </is>
      </c>
    </row>
    <row r="25" ht="36" customHeight="1">
      <c r="B25" s="8" t="inlineStr">
        <is>
          <t>Pick the duration that matches your job stability and dependents. This is the lump sum to keep in instant-access form: savings + sweep-FD + liquid mutual fund.</t>
        </is>
      </c>
    </row>
    <row r="26" ht="22" customHeight="1">
      <c r="B26" s="9" t="inlineStr">
        <is>
          <t>Duration</t>
        </is>
      </c>
      <c r="C26" s="20" t="inlineStr">
        <is>
          <t>Corpus (₹)</t>
        </is>
      </c>
      <c r="E26" s="9" t="inlineStr">
        <is>
          <t>Suitable for</t>
        </is>
      </c>
      <c r="F26" s="10" t="n"/>
      <c r="G26" s="10" t="n"/>
    </row>
    <row r="27" ht="36" customHeight="1">
      <c r="B27" s="21" t="inlineStr">
        <is>
          <t>3 months</t>
        </is>
      </c>
      <c r="C27" s="22">
        <f>C20*3</f>
        <v/>
      </c>
      <c r="E27" s="23" t="inlineStr">
        <is>
          <t>Stable salary · no dependents · short clear runway</t>
        </is>
      </c>
    </row>
    <row r="28" ht="36" customHeight="1">
      <c r="B28" s="24" t="inlineStr">
        <is>
          <t>6 months</t>
        </is>
      </c>
      <c r="C28" s="25">
        <f>C20*6</f>
        <v/>
      </c>
      <c r="E28" s="23" t="inlineStr">
        <is>
          <t>Most salaried professionals · the standard recommendation</t>
        </is>
      </c>
    </row>
    <row r="29" ht="36" customHeight="1">
      <c r="B29" s="26" t="inlineStr">
        <is>
          <t>9 months</t>
        </is>
      </c>
      <c r="C29" s="27">
        <f>C20*9</f>
        <v/>
      </c>
      <c r="E29" s="23" t="inlineStr">
        <is>
          <t>Self-employed · founder · single-income with dependents</t>
        </is>
      </c>
    </row>
    <row r="32" ht="22" customHeight="1">
      <c r="B32" s="5" t="inlineStr">
        <is>
          <t>03 · LIVE-OFF-INTEREST CORPUS</t>
        </is>
      </c>
    </row>
    <row r="33" ht="30" customHeight="1">
      <c r="B33" s="7" t="inlineStr">
        <is>
          <t>Principal needed to fund these expenses indefinitely.</t>
        </is>
      </c>
    </row>
    <row r="34" ht="50" customHeight="1">
      <c r="B34" s="8" t="inlineStr">
        <is>
          <t>If your monthly outflow is funded entirely from interest income — never touching principal — here is the corpus required across three popular instruments. Tax assumption is your slab rate, which you can edit below.</t>
        </is>
      </c>
    </row>
    <row r="36" ht="30" customHeight="1">
      <c r="B36" s="11" t="inlineStr">
        <is>
          <t>Your income tax slab (highest applicable)</t>
        </is>
      </c>
      <c r="C36" s="16" t="n">
        <v>0.3</v>
      </c>
      <c r="E36" s="8" t="inlineStr">
        <is>
          <t>Common: 5% / 10% / 15% / 20% / 30%. New regime slabs differ slightly. Use your highest applicable slab.</t>
        </is>
      </c>
    </row>
    <row r="37" ht="28" customHeight="1">
      <c r="B37" s="28" t="inlineStr">
        <is>
          <t>Annual outflow (= adjusted monthly × 12)</t>
        </is>
      </c>
      <c r="C37" s="29">
        <f>C20*12</f>
        <v/>
      </c>
    </row>
    <row r="39" ht="26" customHeight="1">
      <c r="B39" s="30" t="inlineStr">
        <is>
          <t>Instrument</t>
        </is>
      </c>
      <c r="C39" s="31" t="inlineStr">
        <is>
          <t>Pre-tax yield</t>
        </is>
      </c>
      <c r="D39" s="31" t="inlineStr"/>
      <c r="E39" s="31" t="inlineStr">
        <is>
          <t>Post-tax yield</t>
        </is>
      </c>
      <c r="F39" s="31" t="inlineStr">
        <is>
          <t>Annual need</t>
        </is>
      </c>
      <c r="G39" s="31" t="inlineStr">
        <is>
          <t>Corpus required</t>
        </is>
      </c>
    </row>
    <row r="40" ht="26" customHeight="1">
      <c r="B40" s="32" t="inlineStr">
        <is>
          <t>Bank Fixed Deposit</t>
        </is>
      </c>
      <c r="C40" s="33" t="n">
        <v>0.07000000000000001</v>
      </c>
      <c r="E40" s="33">
        <f>0.07*(1-C36)</f>
        <v/>
      </c>
      <c r="F40" s="29">
        <f>C37</f>
        <v/>
      </c>
      <c r="G40" s="34">
        <f>IFERROR(F40/E40,0)</f>
        <v/>
      </c>
    </row>
    <row r="41" ht="24" customHeight="1">
      <c r="B41" s="35" t="inlineStr">
        <is>
          <t>Sovereign-backed up to ₹5L (DICGC). Interest fully taxed at slab.</t>
        </is>
      </c>
    </row>
    <row r="42" ht="26" customHeight="1">
      <c r="B42" s="36" t="inlineStr">
        <is>
          <t>Debt Mutual Fund</t>
        </is>
      </c>
      <c r="C42" s="33" t="n">
        <v>0.07000000000000001</v>
      </c>
      <c r="E42" s="33">
        <f>0.07*(1-C36)</f>
        <v/>
      </c>
      <c r="F42" s="29">
        <f>C37</f>
        <v/>
      </c>
      <c r="G42" s="37">
        <f>IFERROR(F42/E42,0)</f>
        <v/>
      </c>
    </row>
    <row r="43" ht="24" customHeight="1">
      <c r="B43" s="35" t="inlineStr">
        <is>
          <t>Liquid / short-duration. Post Apr-2023 — fully slab-taxed.</t>
        </is>
      </c>
    </row>
    <row r="44" ht="26" customHeight="1">
      <c r="B44" s="38" t="inlineStr">
        <is>
          <t>Arbitrage Fund (Recommended)</t>
        </is>
      </c>
      <c r="C44" s="39" t="n">
        <v>0.065</v>
      </c>
      <c r="D44" s="40" t="n"/>
      <c r="E44" s="39">
        <f>0.065*(1-0.125)</f>
        <v/>
      </c>
      <c r="F44" s="41">
        <f>C37</f>
        <v/>
      </c>
      <c r="G44" s="42">
        <f>IFERROR(F44/E44,0)</f>
        <v/>
      </c>
    </row>
    <row r="45" ht="24" customHeight="1">
      <c r="B45" s="43" t="inlineStr">
        <is>
          <t>Equity-taxed: 12.5% LTCG above ₹1.25L. Best post-tax for high slabs.</t>
        </is>
      </c>
    </row>
    <row r="48" ht="22" customHeight="1">
      <c r="B48" s="5" t="inlineStr">
        <is>
          <t>METHODOLOGY &amp; ASSUMPTIONS</t>
        </is>
      </c>
    </row>
    <row r="49" ht="20" customHeight="1">
      <c r="B49" s="44" t="inlineStr">
        <is>
          <t>• Monthly need = (Rent + EMI + Utilities + Groceries + Other) × (1 + buffer%)</t>
        </is>
      </c>
    </row>
    <row r="50" ht="20" customHeight="1">
      <c r="B50" s="44" t="inlineStr">
        <is>
          <t>• 3 / 6 / 9-month corpus = monthly need × N — held in instant-access form (savings + sweep-FD + liquid fund)</t>
        </is>
      </c>
    </row>
    <row r="51" ht="20" customHeight="1">
      <c r="B51" s="44" t="inlineStr">
        <is>
          <t>• Live-off-interest corpus = annual need ÷ post-tax yield — principal untouched, interest withdrawn</t>
        </is>
      </c>
    </row>
    <row r="52" ht="20" customHeight="1">
      <c r="B52" s="44" t="inlineStr">
        <is>
          <t>• FD post-tax = 7.0% × (1 − slab%). Indicative; varies by bank, tenor, senior-citizen premium</t>
        </is>
      </c>
    </row>
    <row r="53" ht="20" customHeight="1">
      <c r="B53" s="44" t="inlineStr">
        <is>
          <t>• Debt fund post-tax = 7.0% × (1 − slab%). Post Finance Act 2023 — no LTCG benefit regardless of holding</t>
        </is>
      </c>
    </row>
    <row r="54" ht="20" customHeight="1">
      <c r="B54" s="44" t="inlineStr">
        <is>
          <t>• Arbitrage post-tax = 6.5% × (1 − 12.5%) for the LTCG-eligible portion (held &gt; 12 months)</t>
        </is>
      </c>
    </row>
    <row r="55" ht="20" customHeight="1">
      <c r="B55" s="44" t="inlineStr">
        <is>
          <t>• Yields are illustrative for FY 2025–26. Confirm current rates with your relationship manager</t>
        </is>
      </c>
    </row>
    <row r="56" ht="20" customHeight="1">
      <c r="B56" s="44" t="inlineStr">
        <is>
          <t>• Cells with light cream background are inputs (editable). All others are computed.</t>
        </is>
      </c>
    </row>
    <row r="59" ht="50" customHeight="1">
      <c r="B59" s="45" t="inlineStr">
        <is>
          <t>Disclaimer — This calculator is an educational synthesis. It is not investment, tax, or legal advice. Yields and tax rules change; verify with your CA and banker before acting. © 2026 Private Client Brief.</t>
        </is>
      </c>
    </row>
  </sheetData>
  <sheetProtection selectLockedCells="1" selectUnlockedCells="1" sheet="1" objects="0" insertRows="1" insertHyperlinks="1" autoFilter="1" scenarios="0" formatColumns="0" deleteColumns="1" insertColumns="1" pivotTables="1" deleteRows="1" formatCells="0" formatRows="0" sort="1" password="CE4B"/>
  <mergeCells count="31">
    <mergeCell ref="B2:G2"/>
    <mergeCell ref="E10:G10"/>
    <mergeCell ref="E28:G28"/>
    <mergeCell ref="E13:G13"/>
    <mergeCell ref="B8:G8"/>
    <mergeCell ref="E9:G9"/>
    <mergeCell ref="B53:G53"/>
    <mergeCell ref="B34:G34"/>
    <mergeCell ref="E36:G36"/>
    <mergeCell ref="E11:G11"/>
    <mergeCell ref="E27:G27"/>
    <mergeCell ref="B49:G49"/>
    <mergeCell ref="E26:G26"/>
    <mergeCell ref="B55:G55"/>
    <mergeCell ref="B51:G51"/>
    <mergeCell ref="A1:G1"/>
    <mergeCell ref="B45:G45"/>
    <mergeCell ref="B41:G41"/>
    <mergeCell ref="B50:G50"/>
    <mergeCell ref="E12:G12"/>
    <mergeCell ref="E18:G18"/>
    <mergeCell ref="B25:G25"/>
    <mergeCell ref="B3:G3"/>
    <mergeCell ref="B54:G54"/>
    <mergeCell ref="E14:G14"/>
    <mergeCell ref="B59:G59"/>
    <mergeCell ref="B43:G43"/>
    <mergeCell ref="B56:G56"/>
    <mergeCell ref="B52:G52"/>
    <mergeCell ref="E29:G29"/>
    <mergeCell ref="E20:G20"/>
  </mergeCells>
  <conditionalFormatting sqref="C27:C29">
    <cfRule type="dataBar" priority="1">
      <dataBar showValue="1">
        <cfvo type="min"/>
        <cfvo type="max"/>
        <color rgb="00B8842C"/>
      </dataBar>
    </cfRule>
  </conditionalFormatting>
  <printOptions horizontalCentered="1"/>
  <pageMargins left="0.4" right="0.4" top="0.4" bottom="0.4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2026-04-29T08:23:02Z</dcterms:created>
  <dcterms:modified xsi:type="dcterms:W3CDTF">2026-04-29T08:23:02Z</dcterms:modified>
</cp:coreProperties>
</file>